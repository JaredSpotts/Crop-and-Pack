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projects\slime-golf\CropAndPack\benchmark\"/>
    </mc:Choice>
  </mc:AlternateContent>
  <xr:revisionPtr revIDLastSave="0" documentId="8_{48A79702-2EA8-4841-AFF9-EBCAA48EA35A}" xr6:coauthVersionLast="47" xr6:coauthVersionMax="47" xr10:uidLastSave="{00000000-0000-0000-0000-000000000000}"/>
  <bookViews>
    <workbookView xWindow="-96" yWindow="-96" windowWidth="20928" windowHeight="12432" firstSheet="1" activeTab="1" xr2:uid="{1365C6EE-15C0-4CB8-B4F1-D935A37B8949}"/>
  </bookViews>
  <sheets>
    <sheet name="1_angle_benchmark_results" sheetId="1" r:id="rId1"/>
    <sheet name="Graph" sheetId="2" r:id="rId2"/>
  </sheets>
  <externalReferences>
    <externalReference r:id="rId3"/>
  </externalReferences>
  <calcPr calcId="0"/>
</workbook>
</file>

<file path=xl/calcChain.xml><?xml version="1.0" encoding="utf-8"?>
<calcChain xmlns="http://schemas.openxmlformats.org/spreadsheetml/2006/main">
  <c r="N12" i="1" l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</calcChain>
</file>

<file path=xl/sharedStrings.xml><?xml version="1.0" encoding="utf-8"?>
<sst xmlns="http://schemas.openxmlformats.org/spreadsheetml/2006/main" count="312" uniqueCount="21">
  <si>
    <t>Run number</t>
  </si>
  <si>
    <t>Mode</t>
  </si>
  <si>
    <t>Render scale</t>
  </si>
  <si>
    <t>Thread count</t>
  </si>
  <si>
    <t>Start dimensions</t>
  </si>
  <si>
    <t>Crop dimensions</t>
  </si>
  <si>
    <t>Total time ms</t>
  </si>
  <si>
    <t>Crop/Pack time ms</t>
  </si>
  <si>
    <t>warmup</t>
  </si>
  <si>
    <t>fixed</t>
  </si>
  <si>
    <t>213 x 270</t>
  </si>
  <si>
    <t>129 x 125</t>
  </si>
  <si>
    <t>dynamic</t>
  </si>
  <si>
    <t>425 x 540</t>
  </si>
  <si>
    <t>259 x 250</t>
  </si>
  <si>
    <t>638 x 810</t>
  </si>
  <si>
    <t>389 x 376</t>
  </si>
  <si>
    <t>Scale</t>
  </si>
  <si>
    <t>Threads</t>
  </si>
  <si>
    <t>Time Total</t>
  </si>
  <si>
    <t>Time Crop/Pack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</si>
</sst>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Sprite Sheet Generation Time (1 Angle)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'1_angle_benchmark_results'!$L$4:$L$6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'1_angle_benchmark_results'!$M$4:$M$6</c:f>
              <c:numCache>
                <c:formatCode>General</c:formatCode>
                <c:ptCount val="3"/>
                <c:pt idx="0">
                  <c:v>30.88268571428571</c:v>
                </c:pt>
                <c:pt idx="1">
                  <c:v>24.38232857142857</c:v>
                </c:pt>
                <c:pt idx="2">
                  <c:v>22.991892857142858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B-41C0-BD25-7BE11C33CB9F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'1_angle_benchmark_results'!$L$7:$L$9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'1_angle_benchmark_results'!$M$7:$M$9</c:f>
              <c:numCache>
                <c:formatCode>General</c:formatCode>
                <c:ptCount val="3"/>
                <c:pt idx="0">
                  <c:v>93.713614285714286</c:v>
                </c:pt>
                <c:pt idx="1">
                  <c:v>72.508742857142849</c:v>
                </c:pt>
                <c:pt idx="2">
                  <c:v>70.070607142857156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6B-41C0-BD25-7BE11C33CB9F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'1_angle_benchmark_results'!$L$7:$L$9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'1_angle_benchmark_results'!$M$10:$M$12</c:f>
              <c:numCache>
                <c:formatCode>General</c:formatCode>
                <c:ptCount val="3"/>
                <c:pt idx="0">
                  <c:v>197.8677142857143</c:v>
                </c:pt>
                <c:pt idx="1">
                  <c:v>144.27028571428573</c:v>
                </c:pt>
                <c:pt idx="2">
                  <c:v>144.0227857142857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6B-41C0-BD25-7BE11C33C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total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Crop/Pack Processing Time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0" u="none" strike="noStrike" baseline="0"/>
              <a:t>(1 Angle)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'1_angle_benchmark_results'!$L$4:$L$6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'1_angle_benchmark_results'!$N$4:$N$6</c:f>
              <c:numCache>
                <c:formatCode>General</c:formatCode>
                <c:ptCount val="3"/>
                <c:pt idx="0">
                  <c:v>12.998942857142856</c:v>
                </c:pt>
                <c:pt idx="1">
                  <c:v>7.1195142857142866</c:v>
                </c:pt>
                <c:pt idx="2">
                  <c:v>5.3295000000000003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4-4957-BDB6-C8C854EED0D1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'1_angle_benchmark_results'!$L$7:$L$9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'1_angle_benchmark_results'!$N$7:$N$9</c:f>
              <c:numCache>
                <c:formatCode>General</c:formatCode>
                <c:ptCount val="3"/>
                <c:pt idx="0">
                  <c:v>35.865657142857138</c:v>
                </c:pt>
                <c:pt idx="1">
                  <c:v>14.478400000000002</c:v>
                </c:pt>
                <c:pt idx="2">
                  <c:v>10.672957142857143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4-4957-BDB6-C8C854EED0D1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'1_angle_benchmark_results'!$L$7:$L$9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'1_angle_benchmark_results'!$N$10:$N$12</c:f>
              <c:numCache>
                <c:formatCode>General</c:formatCode>
                <c:ptCount val="3"/>
                <c:pt idx="0">
                  <c:v>78.642100000000013</c:v>
                </c:pt>
                <c:pt idx="1">
                  <c:v>26.777214285714287</c:v>
                </c:pt>
                <c:pt idx="2">
                  <c:v>19.718521428571425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24-4957-BDB6-C8C854EE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Crop/Pack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13</xdr:col>
      <xdr:colOff>381000</xdr:colOff>
      <xdr:row>20</xdr:row>
      <xdr:rowOff>170925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8B2E6-D25B-40F9-8854-7966B4895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13</xdr:col>
      <xdr:colOff>381000</xdr:colOff>
      <xdr:row>43</xdr:row>
      <xdr:rowOff>170925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1B62A-1C1A-4F30-ACF3-3BE718750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red\projects\slime-golf\CropAndPack\benchmark\benchmark_results.csv" TargetMode="External"/><Relationship Id="rId1" Type="http://schemas.openxmlformats.org/officeDocument/2006/relationships/externalLinkPath" Target="benchmark_resul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chmark_results"/>
      <sheetName val="Graph"/>
    </sheetNames>
    <sheetDataSet>
      <sheetData sheetId="0">
        <row r="4">
          <cell r="L4">
            <v>1</v>
          </cell>
          <cell r="M4">
            <v>254.97114285714287</v>
          </cell>
        </row>
        <row r="5">
          <cell r="L5">
            <v>4</v>
          </cell>
          <cell r="M5">
            <v>170.77828571428569</v>
          </cell>
        </row>
        <row r="6">
          <cell r="L6">
            <v>8</v>
          </cell>
          <cell r="M6">
            <v>164.70257142857145</v>
          </cell>
        </row>
        <row r="7">
          <cell r="L7">
            <v>10</v>
          </cell>
          <cell r="M7">
            <v>165.18685714285715</v>
          </cell>
        </row>
        <row r="8">
          <cell r="L8">
            <v>12</v>
          </cell>
          <cell r="M8">
            <v>157.86614285714288</v>
          </cell>
        </row>
        <row r="9">
          <cell r="L9">
            <v>15</v>
          </cell>
          <cell r="M9">
            <v>152.29585714285716</v>
          </cell>
        </row>
        <row r="10">
          <cell r="M10">
            <v>803.96742857142851</v>
          </cell>
        </row>
        <row r="11">
          <cell r="M11">
            <v>594.39428571428573</v>
          </cell>
        </row>
        <row r="12">
          <cell r="M12">
            <v>547.67871428571436</v>
          </cell>
        </row>
        <row r="13">
          <cell r="M13">
            <v>541.70142857142855</v>
          </cell>
        </row>
        <row r="14">
          <cell r="M14">
            <v>519.97442857142858</v>
          </cell>
        </row>
        <row r="15">
          <cell r="M15">
            <v>517.55399999999997</v>
          </cell>
        </row>
        <row r="16">
          <cell r="M16">
            <v>1689.4742857142858</v>
          </cell>
        </row>
        <row r="17">
          <cell r="M17">
            <v>1229.2642857142857</v>
          </cell>
        </row>
        <row r="18">
          <cell r="M18">
            <v>1183.4442857142856</v>
          </cell>
        </row>
        <row r="19">
          <cell r="M19">
            <v>1138.4957142857143</v>
          </cell>
        </row>
        <row r="20">
          <cell r="M20">
            <v>1141.5171428571427</v>
          </cell>
        </row>
        <row r="21">
          <cell r="M21">
            <v>1158.5571428571427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E1B4-0321-4805-9363-801BD3F81A85}">
  <dimension ref="A1:N97"/>
  <sheetViews>
    <sheetView topLeftCell="G1" workbookViewId="0">
      <selection activeCell="G1" sqref="G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5">
      <c r="A2" t="s">
        <v>8</v>
      </c>
      <c r="B2" t="s">
        <v>9</v>
      </c>
      <c r="C2">
        <v>0.5</v>
      </c>
      <c r="D2">
        <v>1</v>
      </c>
      <c r="E2" t="s">
        <v>10</v>
      </c>
      <c r="F2" t="s">
        <v>11</v>
      </c>
      <c r="G2">
        <v>52.646000000000001</v>
      </c>
      <c r="H2">
        <v>27.069800000000001</v>
      </c>
    </row>
    <row r="3" spans="1:14" x14ac:dyDescent="0.35">
      <c r="A3">
        <v>1</v>
      </c>
      <c r="B3" t="s">
        <v>9</v>
      </c>
      <c r="C3">
        <v>0.5</v>
      </c>
      <c r="D3">
        <v>1</v>
      </c>
      <c r="E3" t="s">
        <v>10</v>
      </c>
      <c r="F3" t="s">
        <v>11</v>
      </c>
      <c r="G3">
        <v>28.596499999999999</v>
      </c>
      <c r="H3">
        <v>12.160600000000001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35">
      <c r="A4">
        <v>2</v>
      </c>
      <c r="B4" t="s">
        <v>9</v>
      </c>
      <c r="C4">
        <v>0.5</v>
      </c>
      <c r="D4">
        <v>1</v>
      </c>
      <c r="E4" t="s">
        <v>10</v>
      </c>
      <c r="F4" t="s">
        <v>11</v>
      </c>
      <c r="G4">
        <v>31.244900000000001</v>
      </c>
      <c r="H4">
        <v>12.819599999999999</v>
      </c>
      <c r="K4">
        <v>0.5</v>
      </c>
      <c r="L4">
        <v>1</v>
      </c>
      <c r="M4">
        <f>AVERAGEIFS($G:$G,$A:$A,"&lt;&gt;warmup",$C:$C,K4,$D:$D,L4)</f>
        <v>30.88268571428571</v>
      </c>
      <c r="N4">
        <f>AVERAGEIFS($H:$H,$A:$A,"&lt;&gt;warmup",$B:$B,"fixed",$C:$C,K4,$D:$D,L4)</f>
        <v>12.998942857142856</v>
      </c>
    </row>
    <row r="5" spans="1:14" x14ac:dyDescent="0.35">
      <c r="A5">
        <v>3</v>
      </c>
      <c r="B5" t="s">
        <v>9</v>
      </c>
      <c r="C5">
        <v>0.5</v>
      </c>
      <c r="D5">
        <v>1</v>
      </c>
      <c r="E5" t="s">
        <v>10</v>
      </c>
      <c r="F5" t="s">
        <v>11</v>
      </c>
      <c r="G5">
        <v>29.761299999999999</v>
      </c>
      <c r="H5">
        <v>12.4627</v>
      </c>
      <c r="K5">
        <v>0.5</v>
      </c>
      <c r="L5">
        <v>4</v>
      </c>
      <c r="M5">
        <f>AVERAGEIFS($G:$G,$A:$A,"&lt;&gt;warmup",$C:$C,K5,$D:$D,L5)</f>
        <v>24.38232857142857</v>
      </c>
      <c r="N5">
        <f t="shared" ref="N5:N9" si="0">AVERAGEIFS($H:$H,$A:$A,"&lt;&gt;warmup",$B:$B,"fixed",$C:$C,K5,$D:$D,L5)</f>
        <v>7.1195142857142866</v>
      </c>
    </row>
    <row r="6" spans="1:14" x14ac:dyDescent="0.35">
      <c r="A6">
        <v>4</v>
      </c>
      <c r="B6" t="s">
        <v>9</v>
      </c>
      <c r="C6">
        <v>0.5</v>
      </c>
      <c r="D6">
        <v>1</v>
      </c>
      <c r="E6" t="s">
        <v>10</v>
      </c>
      <c r="F6" t="s">
        <v>11</v>
      </c>
      <c r="G6">
        <v>31.2332</v>
      </c>
      <c r="H6">
        <v>13.4954</v>
      </c>
      <c r="K6">
        <v>0.5</v>
      </c>
      <c r="L6">
        <v>8</v>
      </c>
      <c r="M6">
        <f t="shared" ref="M6:M21" si="1">AVERAGEIFS($G:$G,$A:$A,"&lt;&gt;warmup",$C:$C,K6,$D:$D,L6)</f>
        <v>22.991892857142858</v>
      </c>
      <c r="N6">
        <f t="shared" si="0"/>
        <v>5.3295000000000003</v>
      </c>
    </row>
    <row r="7" spans="1:14" x14ac:dyDescent="0.35">
      <c r="A7">
        <v>5</v>
      </c>
      <c r="B7" t="s">
        <v>9</v>
      </c>
      <c r="C7">
        <v>0.5</v>
      </c>
      <c r="D7">
        <v>1</v>
      </c>
      <c r="E7" t="s">
        <v>10</v>
      </c>
      <c r="F7" t="s">
        <v>11</v>
      </c>
      <c r="G7">
        <v>29.960799999999999</v>
      </c>
      <c r="H7">
        <v>12.682399999999999</v>
      </c>
      <c r="K7">
        <v>1</v>
      </c>
      <c r="L7">
        <v>1</v>
      </c>
      <c r="M7">
        <f>AVERAGEIFS($G:$G,$A:$A,"&lt;&gt;warmup",$C:$C,K7,$D:$D,L7)</f>
        <v>93.713614285714286</v>
      </c>
      <c r="N7">
        <f>AVERAGEIFS($H:$H,$A:$A,"&lt;&gt;warmup",$C:$C,K7,$D:$D,L7)</f>
        <v>35.865657142857138</v>
      </c>
    </row>
    <row r="8" spans="1:14" x14ac:dyDescent="0.35">
      <c r="A8">
        <v>6</v>
      </c>
      <c r="B8" t="s">
        <v>9</v>
      </c>
      <c r="C8">
        <v>0.5</v>
      </c>
      <c r="D8">
        <v>1</v>
      </c>
      <c r="E8" t="s">
        <v>10</v>
      </c>
      <c r="F8" t="s">
        <v>11</v>
      </c>
      <c r="G8">
        <v>29.5519</v>
      </c>
      <c r="H8">
        <v>12.4092</v>
      </c>
      <c r="K8">
        <v>1</v>
      </c>
      <c r="L8">
        <v>4</v>
      </c>
      <c r="M8">
        <f>AVERAGEIFS($G:$G,$A:$A,"&lt;&gt;warmup",$C:$C,K8,$D:$D,L8)</f>
        <v>72.508742857142849</v>
      </c>
      <c r="N8">
        <f>AVERAGEIFS($H:$H,$A:$A,"&lt;&gt;warmup",$C:$C,K8,$D:$D,L8)</f>
        <v>14.478400000000002</v>
      </c>
    </row>
    <row r="9" spans="1:14" x14ac:dyDescent="0.35">
      <c r="A9">
        <v>7</v>
      </c>
      <c r="B9" t="s">
        <v>9</v>
      </c>
      <c r="C9">
        <v>0.5</v>
      </c>
      <c r="D9">
        <v>1</v>
      </c>
      <c r="E9" t="s">
        <v>10</v>
      </c>
      <c r="F9" t="s">
        <v>11</v>
      </c>
      <c r="G9">
        <v>35.830199999999998</v>
      </c>
      <c r="H9">
        <v>14.9627</v>
      </c>
      <c r="K9">
        <v>1</v>
      </c>
      <c r="L9">
        <v>8</v>
      </c>
      <c r="M9">
        <f>AVERAGEIFS($G:$G,$A:$A,"&lt;&gt;warmup",$C:$C,K9,$D:$D,L9)</f>
        <v>70.070607142857156</v>
      </c>
      <c r="N9">
        <f>AVERAGEIFS($H:$H,$A:$A,"&lt;&gt;warmup",$C:$C,K9,$D:$D,L9)</f>
        <v>10.672957142857143</v>
      </c>
    </row>
    <row r="10" spans="1:14" x14ac:dyDescent="0.35">
      <c r="A10" t="s">
        <v>8</v>
      </c>
      <c r="B10" t="s">
        <v>9</v>
      </c>
      <c r="C10">
        <v>0.5</v>
      </c>
      <c r="D10">
        <v>4</v>
      </c>
      <c r="E10" t="s">
        <v>10</v>
      </c>
      <c r="F10" t="s">
        <v>11</v>
      </c>
      <c r="G10">
        <v>26.7348</v>
      </c>
      <c r="H10">
        <v>8.5607000000000006</v>
      </c>
      <c r="K10">
        <v>1.5</v>
      </c>
      <c r="L10">
        <v>1</v>
      </c>
      <c r="M10">
        <f>AVERAGEIFS($G:$G,$A:$A,"&lt;&gt;warmup",$C:$C,K10,$D:$D,L10)</f>
        <v>197.8677142857143</v>
      </c>
      <c r="N10">
        <f>AVERAGEIFS($H:$H,$A:$A,"&lt;&gt;warmup",$C:$C,K10,$D:$D,L10)</f>
        <v>78.642100000000013</v>
      </c>
    </row>
    <row r="11" spans="1:14" x14ac:dyDescent="0.35">
      <c r="A11">
        <v>1</v>
      </c>
      <c r="B11" t="s">
        <v>9</v>
      </c>
      <c r="C11">
        <v>0.5</v>
      </c>
      <c r="D11">
        <v>4</v>
      </c>
      <c r="E11" t="s">
        <v>10</v>
      </c>
      <c r="F11" t="s">
        <v>11</v>
      </c>
      <c r="G11">
        <v>23.517199999999999</v>
      </c>
      <c r="H11">
        <v>6.3555000000000001</v>
      </c>
      <c r="K11">
        <v>1.5</v>
      </c>
      <c r="L11">
        <v>4</v>
      </c>
      <c r="M11">
        <f>AVERAGEIFS($G:$G,$A:$A,"&lt;&gt;warmup",$C:$C,K11,$D:$D,L11)</f>
        <v>144.27028571428573</v>
      </c>
      <c r="N11">
        <f>AVERAGEIFS($H:$H,$A:$A,"&lt;&gt;warmup",$C:$C,K11,$D:$D,L11)</f>
        <v>26.777214285714287</v>
      </c>
    </row>
    <row r="12" spans="1:14" x14ac:dyDescent="0.35">
      <c r="A12">
        <v>2</v>
      </c>
      <c r="B12" t="s">
        <v>9</v>
      </c>
      <c r="C12">
        <v>0.5</v>
      </c>
      <c r="D12">
        <v>4</v>
      </c>
      <c r="E12" t="s">
        <v>10</v>
      </c>
      <c r="F12" t="s">
        <v>11</v>
      </c>
      <c r="G12">
        <v>24.352900000000002</v>
      </c>
      <c r="H12">
        <v>7.2317999999999998</v>
      </c>
      <c r="K12">
        <v>1.5</v>
      </c>
      <c r="L12">
        <v>8</v>
      </c>
      <c r="M12">
        <f>AVERAGEIFS($G:$G,$A:$A,"&lt;&gt;warmup",$C:$C,K12,$D:$D,L12)</f>
        <v>144.0227857142857</v>
      </c>
      <c r="N12">
        <f>AVERAGEIFS($H:$H,$A:$A,"&lt;&gt;warmup",$C:$C,K12,$D:$D,L12)</f>
        <v>19.718521428571425</v>
      </c>
    </row>
    <row r="13" spans="1:14" x14ac:dyDescent="0.35">
      <c r="A13">
        <v>3</v>
      </c>
      <c r="B13" t="s">
        <v>9</v>
      </c>
      <c r="C13">
        <v>0.5</v>
      </c>
      <c r="D13">
        <v>4</v>
      </c>
      <c r="E13" t="s">
        <v>10</v>
      </c>
      <c r="F13" t="s">
        <v>11</v>
      </c>
      <c r="G13">
        <v>23.880600000000001</v>
      </c>
      <c r="H13">
        <v>7.2713999999999999</v>
      </c>
    </row>
    <row r="14" spans="1:14" x14ac:dyDescent="0.35">
      <c r="A14">
        <v>4</v>
      </c>
      <c r="B14" t="s">
        <v>9</v>
      </c>
      <c r="C14">
        <v>0.5</v>
      </c>
      <c r="D14">
        <v>4</v>
      </c>
      <c r="E14" t="s">
        <v>10</v>
      </c>
      <c r="F14" t="s">
        <v>11</v>
      </c>
      <c r="G14">
        <v>23.244199999999999</v>
      </c>
      <c r="H14">
        <v>7.1260000000000003</v>
      </c>
    </row>
    <row r="15" spans="1:14" x14ac:dyDescent="0.35">
      <c r="A15">
        <v>5</v>
      </c>
      <c r="B15" t="s">
        <v>9</v>
      </c>
      <c r="C15">
        <v>0.5</v>
      </c>
      <c r="D15">
        <v>4</v>
      </c>
      <c r="E15" t="s">
        <v>10</v>
      </c>
      <c r="F15" t="s">
        <v>11</v>
      </c>
      <c r="G15">
        <v>25.096499999999999</v>
      </c>
      <c r="H15">
        <v>7.5674000000000001</v>
      </c>
    </row>
    <row r="16" spans="1:14" x14ac:dyDescent="0.35">
      <c r="A16">
        <v>6</v>
      </c>
      <c r="B16" t="s">
        <v>9</v>
      </c>
      <c r="C16">
        <v>0.5</v>
      </c>
      <c r="D16">
        <v>4</v>
      </c>
      <c r="E16" t="s">
        <v>10</v>
      </c>
      <c r="F16" t="s">
        <v>11</v>
      </c>
      <c r="G16">
        <v>25.7851</v>
      </c>
      <c r="H16">
        <v>7.3539000000000003</v>
      </c>
    </row>
    <row r="17" spans="1:8" x14ac:dyDescent="0.35">
      <c r="A17">
        <v>7</v>
      </c>
      <c r="B17" t="s">
        <v>9</v>
      </c>
      <c r="C17">
        <v>0.5</v>
      </c>
      <c r="D17">
        <v>4</v>
      </c>
      <c r="E17" t="s">
        <v>10</v>
      </c>
      <c r="F17" t="s">
        <v>11</v>
      </c>
      <c r="G17">
        <v>24.799800000000001</v>
      </c>
      <c r="H17">
        <v>6.9306000000000001</v>
      </c>
    </row>
    <row r="18" spans="1:8" x14ac:dyDescent="0.35">
      <c r="A18" t="s">
        <v>8</v>
      </c>
      <c r="B18" t="s">
        <v>9</v>
      </c>
      <c r="C18">
        <v>0.5</v>
      </c>
      <c r="D18">
        <v>8</v>
      </c>
      <c r="E18" t="s">
        <v>10</v>
      </c>
      <c r="F18" t="s">
        <v>11</v>
      </c>
      <c r="G18">
        <v>24.2849</v>
      </c>
      <c r="H18">
        <v>5.2671999999999999</v>
      </c>
    </row>
    <row r="19" spans="1:8" x14ac:dyDescent="0.35">
      <c r="A19">
        <v>1</v>
      </c>
      <c r="B19" t="s">
        <v>9</v>
      </c>
      <c r="C19">
        <v>0.5</v>
      </c>
      <c r="D19">
        <v>8</v>
      </c>
      <c r="E19" t="s">
        <v>10</v>
      </c>
      <c r="F19" t="s">
        <v>11</v>
      </c>
      <c r="G19">
        <v>23.5366</v>
      </c>
      <c r="H19">
        <v>5.4916999999999998</v>
      </c>
    </row>
    <row r="20" spans="1:8" x14ac:dyDescent="0.35">
      <c r="A20">
        <v>2</v>
      </c>
      <c r="B20" t="s">
        <v>9</v>
      </c>
      <c r="C20">
        <v>0.5</v>
      </c>
      <c r="D20">
        <v>8</v>
      </c>
      <c r="E20" t="s">
        <v>10</v>
      </c>
      <c r="F20" t="s">
        <v>11</v>
      </c>
      <c r="G20">
        <v>23.233699999999999</v>
      </c>
      <c r="H20">
        <v>4.9177</v>
      </c>
    </row>
    <row r="21" spans="1:8" x14ac:dyDescent="0.35">
      <c r="A21">
        <v>3</v>
      </c>
      <c r="B21" t="s">
        <v>9</v>
      </c>
      <c r="C21">
        <v>0.5</v>
      </c>
      <c r="D21">
        <v>8</v>
      </c>
      <c r="E21" t="s">
        <v>10</v>
      </c>
      <c r="F21" t="s">
        <v>11</v>
      </c>
      <c r="G21">
        <v>21.2392</v>
      </c>
      <c r="H21">
        <v>4.9420000000000002</v>
      </c>
    </row>
    <row r="22" spans="1:8" x14ac:dyDescent="0.35">
      <c r="A22">
        <v>4</v>
      </c>
      <c r="B22" t="s">
        <v>9</v>
      </c>
      <c r="C22">
        <v>0.5</v>
      </c>
      <c r="D22">
        <v>8</v>
      </c>
      <c r="E22" t="s">
        <v>10</v>
      </c>
      <c r="F22" t="s">
        <v>11</v>
      </c>
      <c r="G22">
        <v>23.569700000000001</v>
      </c>
      <c r="H22">
        <v>5.4846000000000004</v>
      </c>
    </row>
    <row r="23" spans="1:8" x14ac:dyDescent="0.35">
      <c r="A23">
        <v>5</v>
      </c>
      <c r="B23" t="s">
        <v>9</v>
      </c>
      <c r="C23">
        <v>0.5</v>
      </c>
      <c r="D23">
        <v>8</v>
      </c>
      <c r="E23" t="s">
        <v>10</v>
      </c>
      <c r="F23" t="s">
        <v>11</v>
      </c>
      <c r="G23">
        <v>22.984000000000002</v>
      </c>
      <c r="H23">
        <v>5.1497999999999999</v>
      </c>
    </row>
    <row r="24" spans="1:8" x14ac:dyDescent="0.35">
      <c r="A24">
        <v>6</v>
      </c>
      <c r="B24" t="s">
        <v>9</v>
      </c>
      <c r="C24">
        <v>0.5</v>
      </c>
      <c r="D24">
        <v>8</v>
      </c>
      <c r="E24" t="s">
        <v>10</v>
      </c>
      <c r="F24" t="s">
        <v>11</v>
      </c>
      <c r="G24">
        <v>23.243200000000002</v>
      </c>
      <c r="H24">
        <v>6.1349</v>
      </c>
    </row>
    <row r="25" spans="1:8" x14ac:dyDescent="0.35">
      <c r="A25">
        <v>7</v>
      </c>
      <c r="B25" t="s">
        <v>9</v>
      </c>
      <c r="C25">
        <v>0.5</v>
      </c>
      <c r="D25">
        <v>8</v>
      </c>
      <c r="E25" t="s">
        <v>10</v>
      </c>
      <c r="F25" t="s">
        <v>11</v>
      </c>
      <c r="G25">
        <v>22.863299999999999</v>
      </c>
      <c r="H25">
        <v>5.1858000000000004</v>
      </c>
    </row>
    <row r="26" spans="1:8" x14ac:dyDescent="0.35">
      <c r="A26" t="s">
        <v>8</v>
      </c>
      <c r="B26" t="s">
        <v>12</v>
      </c>
      <c r="C26">
        <v>0.5</v>
      </c>
      <c r="D26">
        <v>8</v>
      </c>
      <c r="E26" t="s">
        <v>10</v>
      </c>
      <c r="F26" t="s">
        <v>11</v>
      </c>
      <c r="G26">
        <v>22.9131</v>
      </c>
      <c r="H26">
        <v>5.1467999999999998</v>
      </c>
    </row>
    <row r="27" spans="1:8" x14ac:dyDescent="0.35">
      <c r="A27">
        <v>1</v>
      </c>
      <c r="B27" t="s">
        <v>12</v>
      </c>
      <c r="C27">
        <v>0.5</v>
      </c>
      <c r="D27">
        <v>8</v>
      </c>
      <c r="E27" t="s">
        <v>10</v>
      </c>
      <c r="F27" t="s">
        <v>11</v>
      </c>
      <c r="G27">
        <v>23.6616</v>
      </c>
      <c r="H27">
        <v>6.3292000000000002</v>
      </c>
    </row>
    <row r="28" spans="1:8" x14ac:dyDescent="0.35">
      <c r="A28">
        <v>2</v>
      </c>
      <c r="B28" t="s">
        <v>12</v>
      </c>
      <c r="C28">
        <v>0.5</v>
      </c>
      <c r="D28">
        <v>8</v>
      </c>
      <c r="E28" t="s">
        <v>10</v>
      </c>
      <c r="F28" t="s">
        <v>11</v>
      </c>
      <c r="G28">
        <v>23.6587</v>
      </c>
      <c r="H28">
        <v>5.1018999999999997</v>
      </c>
    </row>
    <row r="29" spans="1:8" x14ac:dyDescent="0.35">
      <c r="A29">
        <v>3</v>
      </c>
      <c r="B29" t="s">
        <v>12</v>
      </c>
      <c r="C29">
        <v>0.5</v>
      </c>
      <c r="D29">
        <v>8</v>
      </c>
      <c r="E29" t="s">
        <v>10</v>
      </c>
      <c r="F29" t="s">
        <v>11</v>
      </c>
      <c r="G29">
        <v>22.5426</v>
      </c>
      <c r="H29">
        <v>4.6492000000000004</v>
      </c>
    </row>
    <row r="30" spans="1:8" x14ac:dyDescent="0.35">
      <c r="A30">
        <v>4</v>
      </c>
      <c r="B30" t="s">
        <v>12</v>
      </c>
      <c r="C30">
        <v>0.5</v>
      </c>
      <c r="D30">
        <v>8</v>
      </c>
      <c r="E30" t="s">
        <v>10</v>
      </c>
      <c r="F30" t="s">
        <v>11</v>
      </c>
      <c r="G30">
        <v>22.529199999999999</v>
      </c>
      <c r="H30">
        <v>4.5753000000000004</v>
      </c>
    </row>
    <row r="31" spans="1:8" x14ac:dyDescent="0.35">
      <c r="A31">
        <v>5</v>
      </c>
      <c r="B31" t="s">
        <v>12</v>
      </c>
      <c r="C31">
        <v>0.5</v>
      </c>
      <c r="D31">
        <v>8</v>
      </c>
      <c r="E31" t="s">
        <v>10</v>
      </c>
      <c r="F31" t="s">
        <v>11</v>
      </c>
      <c r="G31">
        <v>21.413</v>
      </c>
      <c r="H31">
        <v>4.4108999999999998</v>
      </c>
    </row>
    <row r="32" spans="1:8" x14ac:dyDescent="0.35">
      <c r="A32">
        <v>6</v>
      </c>
      <c r="B32" t="s">
        <v>12</v>
      </c>
      <c r="C32">
        <v>0.5</v>
      </c>
      <c r="D32">
        <v>8</v>
      </c>
      <c r="E32" t="s">
        <v>10</v>
      </c>
      <c r="F32" t="s">
        <v>11</v>
      </c>
      <c r="G32">
        <v>24.2898</v>
      </c>
      <c r="H32">
        <v>6.4405999999999999</v>
      </c>
    </row>
    <row r="33" spans="1:8" x14ac:dyDescent="0.35">
      <c r="A33">
        <v>7</v>
      </c>
      <c r="B33" t="s">
        <v>12</v>
      </c>
      <c r="C33">
        <v>0.5</v>
      </c>
      <c r="D33">
        <v>8</v>
      </c>
      <c r="E33" t="s">
        <v>10</v>
      </c>
      <c r="F33" t="s">
        <v>11</v>
      </c>
      <c r="G33">
        <v>23.1219</v>
      </c>
      <c r="H33">
        <v>4.9108999999999998</v>
      </c>
    </row>
    <row r="34" spans="1:8" x14ac:dyDescent="0.35">
      <c r="A34" t="s">
        <v>8</v>
      </c>
      <c r="B34" t="s">
        <v>9</v>
      </c>
      <c r="C34">
        <v>1</v>
      </c>
      <c r="D34">
        <v>1</v>
      </c>
      <c r="E34" t="s">
        <v>13</v>
      </c>
      <c r="F34" t="s">
        <v>14</v>
      </c>
      <c r="G34">
        <v>143.941</v>
      </c>
      <c r="H34">
        <v>64.523499999999999</v>
      </c>
    </row>
    <row r="35" spans="1:8" x14ac:dyDescent="0.35">
      <c r="A35">
        <v>1</v>
      </c>
      <c r="B35" t="s">
        <v>9</v>
      </c>
      <c r="C35">
        <v>1</v>
      </c>
      <c r="D35">
        <v>1</v>
      </c>
      <c r="E35" t="s">
        <v>13</v>
      </c>
      <c r="F35" t="s">
        <v>14</v>
      </c>
      <c r="G35">
        <v>93.334500000000006</v>
      </c>
      <c r="H35">
        <v>35.275100000000002</v>
      </c>
    </row>
    <row r="36" spans="1:8" x14ac:dyDescent="0.35">
      <c r="A36">
        <v>2</v>
      </c>
      <c r="B36" t="s">
        <v>9</v>
      </c>
      <c r="C36">
        <v>1</v>
      </c>
      <c r="D36">
        <v>1</v>
      </c>
      <c r="E36" t="s">
        <v>13</v>
      </c>
      <c r="F36" t="s">
        <v>14</v>
      </c>
      <c r="G36">
        <v>92.994900000000001</v>
      </c>
      <c r="H36">
        <v>35.107399999999998</v>
      </c>
    </row>
    <row r="37" spans="1:8" x14ac:dyDescent="0.35">
      <c r="A37">
        <v>3</v>
      </c>
      <c r="B37" t="s">
        <v>9</v>
      </c>
      <c r="C37">
        <v>1</v>
      </c>
      <c r="D37">
        <v>1</v>
      </c>
      <c r="E37" t="s">
        <v>13</v>
      </c>
      <c r="F37" t="s">
        <v>14</v>
      </c>
      <c r="G37">
        <v>94.127200000000002</v>
      </c>
      <c r="H37">
        <v>36.313000000000002</v>
      </c>
    </row>
    <row r="38" spans="1:8" x14ac:dyDescent="0.35">
      <c r="A38">
        <v>4</v>
      </c>
      <c r="B38" t="s">
        <v>9</v>
      </c>
      <c r="C38">
        <v>1</v>
      </c>
      <c r="D38">
        <v>1</v>
      </c>
      <c r="E38" t="s">
        <v>13</v>
      </c>
      <c r="F38" t="s">
        <v>14</v>
      </c>
      <c r="G38">
        <v>95.490200000000002</v>
      </c>
      <c r="H38">
        <v>37.171999999999997</v>
      </c>
    </row>
    <row r="39" spans="1:8" x14ac:dyDescent="0.35">
      <c r="A39">
        <v>5</v>
      </c>
      <c r="B39" t="s">
        <v>9</v>
      </c>
      <c r="C39">
        <v>1</v>
      </c>
      <c r="D39">
        <v>1</v>
      </c>
      <c r="E39" t="s">
        <v>13</v>
      </c>
      <c r="F39" t="s">
        <v>14</v>
      </c>
      <c r="G39">
        <v>92.534099999999995</v>
      </c>
      <c r="H39">
        <v>35.0886</v>
      </c>
    </row>
    <row r="40" spans="1:8" x14ac:dyDescent="0.35">
      <c r="A40">
        <v>6</v>
      </c>
      <c r="B40" t="s">
        <v>9</v>
      </c>
      <c r="C40">
        <v>1</v>
      </c>
      <c r="D40">
        <v>1</v>
      </c>
      <c r="E40" t="s">
        <v>13</v>
      </c>
      <c r="F40" t="s">
        <v>14</v>
      </c>
      <c r="G40">
        <v>95.131399999999999</v>
      </c>
      <c r="H40">
        <v>37.411000000000001</v>
      </c>
    </row>
    <row r="41" spans="1:8" x14ac:dyDescent="0.35">
      <c r="A41">
        <v>7</v>
      </c>
      <c r="B41" t="s">
        <v>9</v>
      </c>
      <c r="C41">
        <v>1</v>
      </c>
      <c r="D41">
        <v>1</v>
      </c>
      <c r="E41" t="s">
        <v>13</v>
      </c>
      <c r="F41" t="s">
        <v>14</v>
      </c>
      <c r="G41">
        <v>92.382999999999996</v>
      </c>
      <c r="H41">
        <v>34.692500000000003</v>
      </c>
    </row>
    <row r="42" spans="1:8" x14ac:dyDescent="0.35">
      <c r="A42" t="s">
        <v>8</v>
      </c>
      <c r="B42" t="s">
        <v>9</v>
      </c>
      <c r="C42">
        <v>1</v>
      </c>
      <c r="D42">
        <v>4</v>
      </c>
      <c r="E42" t="s">
        <v>13</v>
      </c>
      <c r="F42" t="s">
        <v>14</v>
      </c>
      <c r="G42">
        <v>70.495500000000007</v>
      </c>
      <c r="H42">
        <v>12.7895</v>
      </c>
    </row>
    <row r="43" spans="1:8" x14ac:dyDescent="0.35">
      <c r="A43">
        <v>1</v>
      </c>
      <c r="B43" t="s">
        <v>9</v>
      </c>
      <c r="C43">
        <v>1</v>
      </c>
      <c r="D43">
        <v>4</v>
      </c>
      <c r="E43" t="s">
        <v>13</v>
      </c>
      <c r="F43" t="s">
        <v>14</v>
      </c>
      <c r="G43">
        <v>71.102000000000004</v>
      </c>
      <c r="H43">
        <v>14.9186</v>
      </c>
    </row>
    <row r="44" spans="1:8" x14ac:dyDescent="0.35">
      <c r="A44">
        <v>2</v>
      </c>
      <c r="B44" t="s">
        <v>9</v>
      </c>
      <c r="C44">
        <v>1</v>
      </c>
      <c r="D44">
        <v>4</v>
      </c>
      <c r="E44" t="s">
        <v>13</v>
      </c>
      <c r="F44" t="s">
        <v>14</v>
      </c>
      <c r="G44">
        <v>72.054199999999994</v>
      </c>
      <c r="H44">
        <v>15.088100000000001</v>
      </c>
    </row>
    <row r="45" spans="1:8" x14ac:dyDescent="0.35">
      <c r="A45">
        <v>3</v>
      </c>
      <c r="B45" t="s">
        <v>9</v>
      </c>
      <c r="C45">
        <v>1</v>
      </c>
      <c r="D45">
        <v>4</v>
      </c>
      <c r="E45" t="s">
        <v>13</v>
      </c>
      <c r="F45" t="s">
        <v>14</v>
      </c>
      <c r="G45">
        <v>75.758099999999999</v>
      </c>
      <c r="H45">
        <v>15.985300000000001</v>
      </c>
    </row>
    <row r="46" spans="1:8" x14ac:dyDescent="0.35">
      <c r="A46">
        <v>4</v>
      </c>
      <c r="B46" t="s">
        <v>9</v>
      </c>
      <c r="C46">
        <v>1</v>
      </c>
      <c r="D46">
        <v>4</v>
      </c>
      <c r="E46" t="s">
        <v>13</v>
      </c>
      <c r="F46" t="s">
        <v>14</v>
      </c>
      <c r="G46">
        <v>72.693399999999997</v>
      </c>
      <c r="H46">
        <v>13.8954</v>
      </c>
    </row>
    <row r="47" spans="1:8" x14ac:dyDescent="0.35">
      <c r="A47">
        <v>5</v>
      </c>
      <c r="B47" t="s">
        <v>9</v>
      </c>
      <c r="C47">
        <v>1</v>
      </c>
      <c r="D47">
        <v>4</v>
      </c>
      <c r="E47" t="s">
        <v>13</v>
      </c>
      <c r="F47" t="s">
        <v>14</v>
      </c>
      <c r="G47">
        <v>71.8185</v>
      </c>
      <c r="H47">
        <v>13.6699</v>
      </c>
    </row>
    <row r="48" spans="1:8" x14ac:dyDescent="0.35">
      <c r="A48">
        <v>6</v>
      </c>
      <c r="B48" t="s">
        <v>9</v>
      </c>
      <c r="C48">
        <v>1</v>
      </c>
      <c r="D48">
        <v>4</v>
      </c>
      <c r="E48" t="s">
        <v>13</v>
      </c>
      <c r="F48" t="s">
        <v>14</v>
      </c>
      <c r="G48">
        <v>71.917299999999997</v>
      </c>
      <c r="H48">
        <v>14.117599999999999</v>
      </c>
    </row>
    <row r="49" spans="1:8" x14ac:dyDescent="0.35">
      <c r="A49">
        <v>7</v>
      </c>
      <c r="B49" t="s">
        <v>9</v>
      </c>
      <c r="C49">
        <v>1</v>
      </c>
      <c r="D49">
        <v>4</v>
      </c>
      <c r="E49" t="s">
        <v>13</v>
      </c>
      <c r="F49" t="s">
        <v>14</v>
      </c>
      <c r="G49">
        <v>72.217699999999994</v>
      </c>
      <c r="H49">
        <v>13.6739</v>
      </c>
    </row>
    <row r="50" spans="1:8" x14ac:dyDescent="0.35">
      <c r="A50" t="s">
        <v>8</v>
      </c>
      <c r="B50" t="s">
        <v>9</v>
      </c>
      <c r="C50">
        <v>1</v>
      </c>
      <c r="D50">
        <v>8</v>
      </c>
      <c r="E50" t="s">
        <v>13</v>
      </c>
      <c r="F50" t="s">
        <v>14</v>
      </c>
      <c r="G50">
        <v>69.233999999999995</v>
      </c>
      <c r="H50">
        <v>10.6608</v>
      </c>
    </row>
    <row r="51" spans="1:8" x14ac:dyDescent="0.35">
      <c r="A51">
        <v>1</v>
      </c>
      <c r="B51" t="s">
        <v>9</v>
      </c>
      <c r="C51">
        <v>1</v>
      </c>
      <c r="D51">
        <v>8</v>
      </c>
      <c r="E51" t="s">
        <v>13</v>
      </c>
      <c r="F51" t="s">
        <v>14</v>
      </c>
      <c r="G51">
        <v>67.375600000000006</v>
      </c>
      <c r="H51">
        <v>10.125</v>
      </c>
    </row>
    <row r="52" spans="1:8" x14ac:dyDescent="0.35">
      <c r="A52">
        <v>2</v>
      </c>
      <c r="B52" t="s">
        <v>9</v>
      </c>
      <c r="C52">
        <v>1</v>
      </c>
      <c r="D52">
        <v>8</v>
      </c>
      <c r="E52" t="s">
        <v>13</v>
      </c>
      <c r="F52" t="s">
        <v>14</v>
      </c>
      <c r="G52">
        <v>67.928700000000006</v>
      </c>
      <c r="H52">
        <v>9.7558000000000007</v>
      </c>
    </row>
    <row r="53" spans="1:8" x14ac:dyDescent="0.35">
      <c r="A53">
        <v>3</v>
      </c>
      <c r="B53" t="s">
        <v>9</v>
      </c>
      <c r="C53">
        <v>1</v>
      </c>
      <c r="D53">
        <v>8</v>
      </c>
      <c r="E53" t="s">
        <v>13</v>
      </c>
      <c r="F53" t="s">
        <v>14</v>
      </c>
      <c r="G53">
        <v>69.214200000000005</v>
      </c>
      <c r="H53">
        <v>11.079700000000001</v>
      </c>
    </row>
    <row r="54" spans="1:8" x14ac:dyDescent="0.35">
      <c r="A54">
        <v>4</v>
      </c>
      <c r="B54" t="s">
        <v>9</v>
      </c>
      <c r="C54">
        <v>1</v>
      </c>
      <c r="D54">
        <v>8</v>
      </c>
      <c r="E54" t="s">
        <v>13</v>
      </c>
      <c r="F54" t="s">
        <v>14</v>
      </c>
      <c r="G54">
        <v>69.000100000000003</v>
      </c>
      <c r="H54">
        <v>11.190200000000001</v>
      </c>
    </row>
    <row r="55" spans="1:8" x14ac:dyDescent="0.35">
      <c r="A55">
        <v>5</v>
      </c>
      <c r="B55" t="s">
        <v>9</v>
      </c>
      <c r="C55">
        <v>1</v>
      </c>
      <c r="D55">
        <v>8</v>
      </c>
      <c r="E55" t="s">
        <v>13</v>
      </c>
      <c r="F55" t="s">
        <v>14</v>
      </c>
      <c r="G55">
        <v>69.513000000000005</v>
      </c>
      <c r="H55">
        <v>10.185499999999999</v>
      </c>
    </row>
    <row r="56" spans="1:8" x14ac:dyDescent="0.35">
      <c r="A56">
        <v>6</v>
      </c>
      <c r="B56" t="s">
        <v>9</v>
      </c>
      <c r="C56">
        <v>1</v>
      </c>
      <c r="D56">
        <v>8</v>
      </c>
      <c r="E56" t="s">
        <v>13</v>
      </c>
      <c r="F56" t="s">
        <v>14</v>
      </c>
      <c r="G56">
        <v>68.624099999999999</v>
      </c>
      <c r="H56">
        <v>10.778</v>
      </c>
    </row>
    <row r="57" spans="1:8" x14ac:dyDescent="0.35">
      <c r="A57">
        <v>7</v>
      </c>
      <c r="B57" t="s">
        <v>9</v>
      </c>
      <c r="C57">
        <v>1</v>
      </c>
      <c r="D57">
        <v>8</v>
      </c>
      <c r="E57" t="s">
        <v>13</v>
      </c>
      <c r="F57" t="s">
        <v>14</v>
      </c>
      <c r="G57">
        <v>68.713399999999993</v>
      </c>
      <c r="H57">
        <v>11.210900000000001</v>
      </c>
    </row>
    <row r="58" spans="1:8" x14ac:dyDescent="0.35">
      <c r="A58" t="s">
        <v>8</v>
      </c>
      <c r="B58" t="s">
        <v>12</v>
      </c>
      <c r="C58">
        <v>1</v>
      </c>
      <c r="D58">
        <v>8</v>
      </c>
      <c r="E58" t="s">
        <v>13</v>
      </c>
      <c r="F58" t="s">
        <v>14</v>
      </c>
      <c r="G58">
        <v>69.118700000000004</v>
      </c>
      <c r="H58">
        <v>10.186299999999999</v>
      </c>
    </row>
    <row r="59" spans="1:8" x14ac:dyDescent="0.35">
      <c r="A59">
        <v>1</v>
      </c>
      <c r="B59" t="s">
        <v>12</v>
      </c>
      <c r="C59">
        <v>1</v>
      </c>
      <c r="D59">
        <v>8</v>
      </c>
      <c r="E59" t="s">
        <v>13</v>
      </c>
      <c r="F59" t="s">
        <v>14</v>
      </c>
      <c r="G59">
        <v>68.720399999999998</v>
      </c>
      <c r="H59">
        <v>10.357799999999999</v>
      </c>
    </row>
    <row r="60" spans="1:8" x14ac:dyDescent="0.35">
      <c r="A60">
        <v>2</v>
      </c>
      <c r="B60" t="s">
        <v>12</v>
      </c>
      <c r="C60">
        <v>1</v>
      </c>
      <c r="D60">
        <v>8</v>
      </c>
      <c r="E60" t="s">
        <v>13</v>
      </c>
      <c r="F60" t="s">
        <v>14</v>
      </c>
      <c r="G60">
        <v>69.322400000000002</v>
      </c>
      <c r="H60">
        <v>11.3811</v>
      </c>
    </row>
    <row r="61" spans="1:8" x14ac:dyDescent="0.35">
      <c r="A61">
        <v>3</v>
      </c>
      <c r="B61" t="s">
        <v>12</v>
      </c>
      <c r="C61">
        <v>1</v>
      </c>
      <c r="D61">
        <v>8</v>
      </c>
      <c r="E61" t="s">
        <v>13</v>
      </c>
      <c r="F61" t="s">
        <v>14</v>
      </c>
      <c r="G61">
        <v>69.3459</v>
      </c>
      <c r="H61">
        <v>10.0945</v>
      </c>
    </row>
    <row r="62" spans="1:8" x14ac:dyDescent="0.35">
      <c r="A62">
        <v>4</v>
      </c>
      <c r="B62" t="s">
        <v>12</v>
      </c>
      <c r="C62">
        <v>1</v>
      </c>
      <c r="D62">
        <v>8</v>
      </c>
      <c r="E62" t="s">
        <v>13</v>
      </c>
      <c r="F62" t="s">
        <v>14</v>
      </c>
      <c r="G62">
        <v>67.999099999999999</v>
      </c>
      <c r="H62">
        <v>10.77</v>
      </c>
    </row>
    <row r="63" spans="1:8" x14ac:dyDescent="0.35">
      <c r="A63">
        <v>5</v>
      </c>
      <c r="B63" t="s">
        <v>12</v>
      </c>
      <c r="C63">
        <v>1</v>
      </c>
      <c r="D63">
        <v>8</v>
      </c>
      <c r="E63" t="s">
        <v>13</v>
      </c>
      <c r="F63" t="s">
        <v>14</v>
      </c>
      <c r="G63">
        <v>67.181100000000001</v>
      </c>
      <c r="H63">
        <v>9.5155999999999992</v>
      </c>
    </row>
    <row r="64" spans="1:8" x14ac:dyDescent="0.35">
      <c r="A64">
        <v>6</v>
      </c>
      <c r="B64" t="s">
        <v>12</v>
      </c>
      <c r="C64">
        <v>1</v>
      </c>
      <c r="D64">
        <v>8</v>
      </c>
      <c r="E64" t="s">
        <v>13</v>
      </c>
      <c r="F64" t="s">
        <v>14</v>
      </c>
      <c r="G64">
        <v>81.061599999999999</v>
      </c>
      <c r="H64">
        <v>11.266500000000001</v>
      </c>
    </row>
    <row r="65" spans="1:8" x14ac:dyDescent="0.35">
      <c r="A65">
        <v>7</v>
      </c>
      <c r="B65" t="s">
        <v>12</v>
      </c>
      <c r="C65">
        <v>1</v>
      </c>
      <c r="D65">
        <v>8</v>
      </c>
      <c r="E65" t="s">
        <v>13</v>
      </c>
      <c r="F65" t="s">
        <v>14</v>
      </c>
      <c r="G65">
        <v>76.988900000000001</v>
      </c>
      <c r="H65">
        <v>11.710800000000001</v>
      </c>
    </row>
    <row r="66" spans="1:8" x14ac:dyDescent="0.35">
      <c r="A66" t="s">
        <v>8</v>
      </c>
      <c r="B66" t="s">
        <v>9</v>
      </c>
      <c r="C66">
        <v>1.5</v>
      </c>
      <c r="D66">
        <v>1</v>
      </c>
      <c r="E66" t="s">
        <v>15</v>
      </c>
      <c r="F66" t="s">
        <v>16</v>
      </c>
      <c r="G66">
        <v>264.67599999999999</v>
      </c>
      <c r="H66">
        <v>120.18600000000001</v>
      </c>
    </row>
    <row r="67" spans="1:8" x14ac:dyDescent="0.35">
      <c r="A67">
        <v>1</v>
      </c>
      <c r="B67" t="s">
        <v>9</v>
      </c>
      <c r="C67">
        <v>1.5</v>
      </c>
      <c r="D67">
        <v>1</v>
      </c>
      <c r="E67" t="s">
        <v>15</v>
      </c>
      <c r="F67" t="s">
        <v>16</v>
      </c>
      <c r="G67">
        <v>204.33099999999999</v>
      </c>
      <c r="H67">
        <v>80.473399999999998</v>
      </c>
    </row>
    <row r="68" spans="1:8" x14ac:dyDescent="0.35">
      <c r="A68">
        <v>2</v>
      </c>
      <c r="B68" t="s">
        <v>9</v>
      </c>
      <c r="C68">
        <v>1.5</v>
      </c>
      <c r="D68">
        <v>1</v>
      </c>
      <c r="E68" t="s">
        <v>15</v>
      </c>
      <c r="F68" t="s">
        <v>16</v>
      </c>
      <c r="G68">
        <v>204.744</v>
      </c>
      <c r="H68">
        <v>81.571700000000007</v>
      </c>
    </row>
    <row r="69" spans="1:8" x14ac:dyDescent="0.35">
      <c r="A69">
        <v>3</v>
      </c>
      <c r="B69" t="s">
        <v>9</v>
      </c>
      <c r="C69">
        <v>1.5</v>
      </c>
      <c r="D69">
        <v>1</v>
      </c>
      <c r="E69" t="s">
        <v>15</v>
      </c>
      <c r="F69" t="s">
        <v>16</v>
      </c>
      <c r="G69">
        <v>193.232</v>
      </c>
      <c r="H69">
        <v>77.329099999999997</v>
      </c>
    </row>
    <row r="70" spans="1:8" x14ac:dyDescent="0.35">
      <c r="A70">
        <v>4</v>
      </c>
      <c r="B70" t="s">
        <v>9</v>
      </c>
      <c r="C70">
        <v>1.5</v>
      </c>
      <c r="D70">
        <v>1</v>
      </c>
      <c r="E70" t="s">
        <v>15</v>
      </c>
      <c r="F70" t="s">
        <v>16</v>
      </c>
      <c r="G70">
        <v>195.904</v>
      </c>
      <c r="H70">
        <v>77.789299999999997</v>
      </c>
    </row>
    <row r="71" spans="1:8" x14ac:dyDescent="0.35">
      <c r="A71">
        <v>5</v>
      </c>
      <c r="B71" t="s">
        <v>9</v>
      </c>
      <c r="C71">
        <v>1.5</v>
      </c>
      <c r="D71">
        <v>1</v>
      </c>
      <c r="E71" t="s">
        <v>15</v>
      </c>
      <c r="F71" t="s">
        <v>16</v>
      </c>
      <c r="G71">
        <v>192.309</v>
      </c>
      <c r="H71">
        <v>76.685599999999994</v>
      </c>
    </row>
    <row r="72" spans="1:8" x14ac:dyDescent="0.35">
      <c r="A72">
        <v>6</v>
      </c>
      <c r="B72" t="s">
        <v>9</v>
      </c>
      <c r="C72">
        <v>1.5</v>
      </c>
      <c r="D72">
        <v>1</v>
      </c>
      <c r="E72" t="s">
        <v>15</v>
      </c>
      <c r="F72" t="s">
        <v>16</v>
      </c>
      <c r="G72">
        <v>197.672</v>
      </c>
      <c r="H72">
        <v>78.0441</v>
      </c>
    </row>
    <row r="73" spans="1:8" x14ac:dyDescent="0.35">
      <c r="A73">
        <v>7</v>
      </c>
      <c r="B73" t="s">
        <v>9</v>
      </c>
      <c r="C73">
        <v>1.5</v>
      </c>
      <c r="D73">
        <v>1</v>
      </c>
      <c r="E73" t="s">
        <v>15</v>
      </c>
      <c r="F73" t="s">
        <v>16</v>
      </c>
      <c r="G73">
        <v>196.88200000000001</v>
      </c>
      <c r="H73">
        <v>78.601500000000001</v>
      </c>
    </row>
    <row r="74" spans="1:8" x14ac:dyDescent="0.35">
      <c r="A74" t="s">
        <v>8</v>
      </c>
      <c r="B74" t="s">
        <v>9</v>
      </c>
      <c r="C74">
        <v>1.5</v>
      </c>
      <c r="D74">
        <v>4</v>
      </c>
      <c r="E74" t="s">
        <v>15</v>
      </c>
      <c r="F74" t="s">
        <v>16</v>
      </c>
      <c r="G74">
        <v>148.63999999999999</v>
      </c>
      <c r="H74">
        <v>31.8035</v>
      </c>
    </row>
    <row r="75" spans="1:8" x14ac:dyDescent="0.35">
      <c r="A75">
        <v>1</v>
      </c>
      <c r="B75" t="s">
        <v>9</v>
      </c>
      <c r="C75">
        <v>1.5</v>
      </c>
      <c r="D75">
        <v>4</v>
      </c>
      <c r="E75" t="s">
        <v>15</v>
      </c>
      <c r="F75" t="s">
        <v>16</v>
      </c>
      <c r="G75">
        <v>146.465</v>
      </c>
      <c r="H75">
        <v>26.6313</v>
      </c>
    </row>
    <row r="76" spans="1:8" x14ac:dyDescent="0.35">
      <c r="A76">
        <v>2</v>
      </c>
      <c r="B76" t="s">
        <v>9</v>
      </c>
      <c r="C76">
        <v>1.5</v>
      </c>
      <c r="D76">
        <v>4</v>
      </c>
      <c r="E76" t="s">
        <v>15</v>
      </c>
      <c r="F76" t="s">
        <v>16</v>
      </c>
      <c r="G76">
        <v>145.547</v>
      </c>
      <c r="H76">
        <v>26.682200000000002</v>
      </c>
    </row>
    <row r="77" spans="1:8" x14ac:dyDescent="0.35">
      <c r="A77">
        <v>3</v>
      </c>
      <c r="B77" t="s">
        <v>9</v>
      </c>
      <c r="C77">
        <v>1.5</v>
      </c>
      <c r="D77">
        <v>4</v>
      </c>
      <c r="E77" t="s">
        <v>15</v>
      </c>
      <c r="F77" t="s">
        <v>16</v>
      </c>
      <c r="G77">
        <v>141.95400000000001</v>
      </c>
      <c r="H77">
        <v>27.2605</v>
      </c>
    </row>
    <row r="78" spans="1:8" x14ac:dyDescent="0.35">
      <c r="A78">
        <v>4</v>
      </c>
      <c r="B78" t="s">
        <v>9</v>
      </c>
      <c r="C78">
        <v>1.5</v>
      </c>
      <c r="D78">
        <v>4</v>
      </c>
      <c r="E78" t="s">
        <v>15</v>
      </c>
      <c r="F78" t="s">
        <v>16</v>
      </c>
      <c r="G78">
        <v>141.851</v>
      </c>
      <c r="H78">
        <v>26.040600000000001</v>
      </c>
    </row>
    <row r="79" spans="1:8" x14ac:dyDescent="0.35">
      <c r="A79">
        <v>5</v>
      </c>
      <c r="B79" t="s">
        <v>9</v>
      </c>
      <c r="C79">
        <v>1.5</v>
      </c>
      <c r="D79">
        <v>4</v>
      </c>
      <c r="E79" t="s">
        <v>15</v>
      </c>
      <c r="F79" t="s">
        <v>16</v>
      </c>
      <c r="G79">
        <v>141.471</v>
      </c>
      <c r="H79">
        <v>25.066299999999998</v>
      </c>
    </row>
    <row r="80" spans="1:8" x14ac:dyDescent="0.35">
      <c r="A80">
        <v>6</v>
      </c>
      <c r="B80" t="s">
        <v>9</v>
      </c>
      <c r="C80">
        <v>1.5</v>
      </c>
      <c r="D80">
        <v>4</v>
      </c>
      <c r="E80" t="s">
        <v>15</v>
      </c>
      <c r="F80" t="s">
        <v>16</v>
      </c>
      <c r="G80">
        <v>145.66900000000001</v>
      </c>
      <c r="H80">
        <v>26.967500000000001</v>
      </c>
    </row>
    <row r="81" spans="1:8" x14ac:dyDescent="0.35">
      <c r="A81">
        <v>7</v>
      </c>
      <c r="B81" t="s">
        <v>9</v>
      </c>
      <c r="C81">
        <v>1.5</v>
      </c>
      <c r="D81">
        <v>4</v>
      </c>
      <c r="E81" t="s">
        <v>15</v>
      </c>
      <c r="F81" t="s">
        <v>16</v>
      </c>
      <c r="G81">
        <v>146.935</v>
      </c>
      <c r="H81">
        <v>28.792100000000001</v>
      </c>
    </row>
    <row r="82" spans="1:8" x14ac:dyDescent="0.35">
      <c r="A82" t="s">
        <v>8</v>
      </c>
      <c r="B82" t="s">
        <v>9</v>
      </c>
      <c r="C82">
        <v>1.5</v>
      </c>
      <c r="D82">
        <v>8</v>
      </c>
      <c r="E82" t="s">
        <v>15</v>
      </c>
      <c r="F82" t="s">
        <v>16</v>
      </c>
      <c r="G82">
        <v>137.54300000000001</v>
      </c>
      <c r="H82">
        <v>21.5534</v>
      </c>
    </row>
    <row r="83" spans="1:8" x14ac:dyDescent="0.35">
      <c r="A83">
        <v>1</v>
      </c>
      <c r="B83" t="s">
        <v>9</v>
      </c>
      <c r="C83">
        <v>1.5</v>
      </c>
      <c r="D83">
        <v>8</v>
      </c>
      <c r="E83" t="s">
        <v>15</v>
      </c>
      <c r="F83" t="s">
        <v>16</v>
      </c>
      <c r="G83">
        <v>135.31399999999999</v>
      </c>
      <c r="H83">
        <v>19.129100000000001</v>
      </c>
    </row>
    <row r="84" spans="1:8" x14ac:dyDescent="0.35">
      <c r="A84">
        <v>2</v>
      </c>
      <c r="B84" t="s">
        <v>9</v>
      </c>
      <c r="C84">
        <v>1.5</v>
      </c>
      <c r="D84">
        <v>8</v>
      </c>
      <c r="E84" t="s">
        <v>15</v>
      </c>
      <c r="F84" t="s">
        <v>16</v>
      </c>
      <c r="G84">
        <v>139.761</v>
      </c>
      <c r="H84">
        <v>20.602799999999998</v>
      </c>
    </row>
    <row r="85" spans="1:8" x14ac:dyDescent="0.35">
      <c r="A85">
        <v>3</v>
      </c>
      <c r="B85" t="s">
        <v>9</v>
      </c>
      <c r="C85">
        <v>1.5</v>
      </c>
      <c r="D85">
        <v>8</v>
      </c>
      <c r="E85" t="s">
        <v>15</v>
      </c>
      <c r="F85" t="s">
        <v>16</v>
      </c>
      <c r="G85">
        <v>144.614</v>
      </c>
      <c r="H85">
        <v>19.963799999999999</v>
      </c>
    </row>
    <row r="86" spans="1:8" x14ac:dyDescent="0.35">
      <c r="A86">
        <v>4</v>
      </c>
      <c r="B86" t="s">
        <v>9</v>
      </c>
      <c r="C86">
        <v>1.5</v>
      </c>
      <c r="D86">
        <v>8</v>
      </c>
      <c r="E86" t="s">
        <v>15</v>
      </c>
      <c r="F86" t="s">
        <v>16</v>
      </c>
      <c r="G86">
        <v>144.88499999999999</v>
      </c>
      <c r="H86">
        <v>20.013400000000001</v>
      </c>
    </row>
    <row r="87" spans="1:8" x14ac:dyDescent="0.35">
      <c r="A87">
        <v>5</v>
      </c>
      <c r="B87" t="s">
        <v>9</v>
      </c>
      <c r="C87">
        <v>1.5</v>
      </c>
      <c r="D87">
        <v>8</v>
      </c>
      <c r="E87" t="s">
        <v>15</v>
      </c>
      <c r="F87" t="s">
        <v>16</v>
      </c>
      <c r="G87">
        <v>144.161</v>
      </c>
      <c r="H87">
        <v>18.561800000000002</v>
      </c>
    </row>
    <row r="88" spans="1:8" x14ac:dyDescent="0.35">
      <c r="A88">
        <v>6</v>
      </c>
      <c r="B88" t="s">
        <v>9</v>
      </c>
      <c r="C88">
        <v>1.5</v>
      </c>
      <c r="D88">
        <v>8</v>
      </c>
      <c r="E88" t="s">
        <v>15</v>
      </c>
      <c r="F88" t="s">
        <v>16</v>
      </c>
      <c r="G88">
        <v>137.803</v>
      </c>
      <c r="H88">
        <v>19.819800000000001</v>
      </c>
    </row>
    <row r="89" spans="1:8" x14ac:dyDescent="0.35">
      <c r="A89">
        <v>7</v>
      </c>
      <c r="B89" t="s">
        <v>9</v>
      </c>
      <c r="C89">
        <v>1.5</v>
      </c>
      <c r="D89">
        <v>8</v>
      </c>
      <c r="E89" t="s">
        <v>15</v>
      </c>
      <c r="F89" t="s">
        <v>16</v>
      </c>
      <c r="G89">
        <v>148.10300000000001</v>
      </c>
      <c r="H89">
        <v>20.523</v>
      </c>
    </row>
    <row r="90" spans="1:8" x14ac:dyDescent="0.35">
      <c r="A90" t="s">
        <v>8</v>
      </c>
      <c r="B90" t="s">
        <v>12</v>
      </c>
      <c r="C90">
        <v>1.5</v>
      </c>
      <c r="D90">
        <v>8</v>
      </c>
      <c r="E90" t="s">
        <v>15</v>
      </c>
      <c r="F90" t="s">
        <v>16</v>
      </c>
      <c r="G90">
        <v>143.30600000000001</v>
      </c>
      <c r="H90">
        <v>18.136900000000001</v>
      </c>
    </row>
    <row r="91" spans="1:8" x14ac:dyDescent="0.35">
      <c r="A91">
        <v>1</v>
      </c>
      <c r="B91" t="s">
        <v>12</v>
      </c>
      <c r="C91">
        <v>1.5</v>
      </c>
      <c r="D91">
        <v>8</v>
      </c>
      <c r="E91" t="s">
        <v>15</v>
      </c>
      <c r="F91" t="s">
        <v>16</v>
      </c>
      <c r="G91">
        <v>146.73699999999999</v>
      </c>
      <c r="H91">
        <v>21.4513</v>
      </c>
    </row>
    <row r="92" spans="1:8" x14ac:dyDescent="0.35">
      <c r="A92">
        <v>2</v>
      </c>
      <c r="B92" t="s">
        <v>12</v>
      </c>
      <c r="C92">
        <v>1.5</v>
      </c>
      <c r="D92">
        <v>8</v>
      </c>
      <c r="E92" t="s">
        <v>15</v>
      </c>
      <c r="F92" t="s">
        <v>16</v>
      </c>
      <c r="G92">
        <v>143.655</v>
      </c>
      <c r="H92">
        <v>18.875599999999999</v>
      </c>
    </row>
    <row r="93" spans="1:8" x14ac:dyDescent="0.35">
      <c r="A93">
        <v>3</v>
      </c>
      <c r="B93" t="s">
        <v>12</v>
      </c>
      <c r="C93">
        <v>1.5</v>
      </c>
      <c r="D93">
        <v>8</v>
      </c>
      <c r="E93" t="s">
        <v>15</v>
      </c>
      <c r="F93" t="s">
        <v>16</v>
      </c>
      <c r="G93">
        <v>143.857</v>
      </c>
      <c r="H93">
        <v>18.469200000000001</v>
      </c>
    </row>
    <row r="94" spans="1:8" x14ac:dyDescent="0.35">
      <c r="A94">
        <v>4</v>
      </c>
      <c r="B94" t="s">
        <v>12</v>
      </c>
      <c r="C94">
        <v>1.5</v>
      </c>
      <c r="D94">
        <v>8</v>
      </c>
      <c r="E94" t="s">
        <v>15</v>
      </c>
      <c r="F94" t="s">
        <v>16</v>
      </c>
      <c r="G94">
        <v>149.006</v>
      </c>
      <c r="H94">
        <v>18.945799999999998</v>
      </c>
    </row>
    <row r="95" spans="1:8" x14ac:dyDescent="0.35">
      <c r="A95">
        <v>5</v>
      </c>
      <c r="B95" t="s">
        <v>12</v>
      </c>
      <c r="C95">
        <v>1.5</v>
      </c>
      <c r="D95">
        <v>8</v>
      </c>
      <c r="E95" t="s">
        <v>15</v>
      </c>
      <c r="F95" t="s">
        <v>16</v>
      </c>
      <c r="G95">
        <v>145.274</v>
      </c>
      <c r="H95">
        <v>18.8871</v>
      </c>
    </row>
    <row r="96" spans="1:8" x14ac:dyDescent="0.35">
      <c r="A96">
        <v>6</v>
      </c>
      <c r="B96" t="s">
        <v>12</v>
      </c>
      <c r="C96">
        <v>1.5</v>
      </c>
      <c r="D96">
        <v>8</v>
      </c>
      <c r="E96" t="s">
        <v>15</v>
      </c>
      <c r="F96" t="s">
        <v>16</v>
      </c>
      <c r="G96">
        <v>150.328</v>
      </c>
      <c r="H96">
        <v>22.195599999999999</v>
      </c>
    </row>
    <row r="97" spans="1:8" x14ac:dyDescent="0.35">
      <c r="A97">
        <v>7</v>
      </c>
      <c r="B97" t="s">
        <v>12</v>
      </c>
      <c r="C97">
        <v>1.5</v>
      </c>
      <c r="D97">
        <v>8</v>
      </c>
      <c r="E97" t="s">
        <v>15</v>
      </c>
      <c r="F97" t="s">
        <v>16</v>
      </c>
      <c r="G97">
        <v>142.821</v>
      </c>
      <c r="H97">
        <v>18.620999999999999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2870-70C0-426D-9455-88FB9E166DD7}">
  <dimension ref="A1"/>
  <sheetViews>
    <sheetView tabSelected="1" topLeftCell="C1" workbookViewId="0">
      <selection activeCell="L24" sqref="G23:L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1_angle_benchmark_results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Spotts</cp:lastModifiedBy>
  <dcterms:created xsi:type="dcterms:W3CDTF">2026-06-18T22:49:09Z</dcterms:created>
  <dcterms:modified xsi:type="dcterms:W3CDTF">2026-06-18T22:49:09Z</dcterms:modified>
</cp:coreProperties>
</file>